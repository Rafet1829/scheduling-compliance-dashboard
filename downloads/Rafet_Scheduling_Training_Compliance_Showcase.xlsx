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9002307be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38dec181694598"/>
    <x:sheet xmlns:r="http://schemas.openxmlformats.org/officeDocument/2006/relationships" name="Staff Rota" sheetId="2" r:id="R1db2b001c08f44e5"/>
    <x:sheet xmlns:r="http://schemas.openxmlformats.org/officeDocument/2006/relationships" name="Training Records" sheetId="3" r:id="Rac585572ceee41be"/>
    <x:sheet xmlns:r="http://schemas.openxmlformats.org/officeDocument/2006/relationships" name="Leave and Cover" sheetId="4" r:id="Rd2815d245cbe4535"/>
    <x:sheet xmlns:r="http://schemas.openxmlformats.org/officeDocument/2006/relationships" name="Admin Tasks" sheetId="5" r:id="R474b8f2dccd5499d"/>
    <x:sheet xmlns:r="http://schemas.openxmlformats.org/officeDocument/2006/relationships" name="Project Guide" sheetId="6" r:id="Rc9d4bf1ff014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20"/>
      <x:color rgb="FFFFFFFF"/>
      <x:name val="Carlito"/>
    </x:font>
    <x:font>
      <x:b/>
      <x:sz val="11"/>
      <x:color rgb="FF172033"/>
      <x:name val="Carlito"/>
    </x:font>
    <x:font>
      <x:b/>
      <x:sz val="20"/>
      <x:color rgb="FF101B3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1B32"/>
      </x:patternFill>
    </x:fill>
    <x:fill>
      <x:patternFill patternType="solid">
        <x:fgColor rgb="FFF4F6FA"/>
      </x:patternFill>
    </x:fill>
    <x:fill>
      <x:patternFill patternType="solid">
        <x:fgColor rgb="FF2F6FED"/>
      </x:patternFill>
    </x:fill>
    <x:fill>
      <x:patternFill patternType="solid">
        <x:fgColor rgb="FFEAF1FF"/>
      </x:patternFill>
    </x:fill>
  </x:fills>
  <x:borders count="8">
    <x:border/>
    <x:border>
      <x:bottom style="thin">
        <x:color rgb="FFE1E6EF"/>
      </x:bottom>
    </x:border>
    <x:border>
      <x:top style="thin">
        <x:color rgb="FFE1E6EF"/>
      </x:top>
      <x:bottom style="thin">
        <x:color rgb="FFE1E6EF"/>
      </x:bottom>
    </x:border>
    <x:border>
      <x:top style="thin">
        <x:color rgb="FFE1E6EF"/>
      </x:top>
    </x:border>
    <x:border>
      <x:left style="thin">
        <x:color rgb="FFE1E6EF"/>
      </x:left>
      <x:top style="thin">
        <x:color rgb="FFE1E6EF"/>
      </x:top>
    </x:border>
    <x:border>
      <x:right style="thin">
        <x:color rgb="FFE1E6EF"/>
      </x:right>
      <x:top style="thin">
        <x:color rgb="FFE1E6EF"/>
      </x:top>
    </x:border>
    <x:border>
      <x:left style="thin">
        <x:color rgb="FFE1E6EF"/>
      </x:left>
      <x:bottom style="thin">
        <x:color rgb="FFE1E6EF"/>
      </x:bottom>
    </x:border>
    <x:border>
      <x:right style="thin">
        <x:color rgb="FFE1E6EF"/>
      </x:right>
      <x:bottom style="thin">
        <x:color rgb="FFE1E6EF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3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1" xfId="0" applyNumberFormat="1" applyFont="1" applyFill="1" applyBorder="1"/>
    <x:xf numFmtId="0" fontId="7" fillId="5" borderId="7" xfId="0" applyNumberFormat="1" applyFont="1" applyFill="1" applyBorder="1"/>
    <x:xf numFmtId="0" fontId="7" fillId="5" borderId="4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C6B3C"/>
      </x:font>
      <x:fill>
        <x:patternFill patternType="solid">
          <x:bgColor rgb="FFE4F6EE"/>
        </x:patternFill>
      </x:fill>
    </x:dxf>
    <x:dxf>
      <x:font>
        <x:b/>
        <x:color rgb="FF8B1E2D"/>
      </x:font>
      <x:fill>
        <x:patternFill patternType="solid">
          <x:bgColor rgb="FFFDE8EB"/>
        </x:patternFill>
      </x:fill>
    </x:dxf>
    <x:dxf>
      <x:font>
        <x:b/>
        <x:color rgb="FF8B1E2D"/>
      </x:font>
      <x:fill>
        <x:patternFill patternType="solid">
          <x:bgColor rgb="FFFDE8EB"/>
        </x:patternFill>
      </x:fill>
    </x:dxf>
    <x:dxf>
      <x:font>
        <x:b/>
        <x:color rgb="FF8A5B00"/>
      </x:font>
      <x:fill>
        <x:patternFill patternType="solid">
          <x:bgColor rgb="FFFFF2D6"/>
        </x:patternFill>
      </x:fill>
    </x:dxf>
    <x:dxf>
      <x:font>
        <x:b/>
        <x:color rgb="FF1C6B3C"/>
      </x:font>
      <x:fill>
        <x:patternFill patternType="solid">
          <x:bgColor rgb="FFE4F6EE"/>
        </x:patternFill>
      </x:fill>
    </x:dxf>
    <x:dxf>
      <x:font>
        <x:b/>
        <x:color rgb="FF8A5B00"/>
      </x:font>
      <x:fill>
        <x:patternFill patternType="solid">
          <x:bgColor rgb="FFFFF2D6"/>
        </x:patternFill>
      </x:fill>
    </x:dxf>
    <x:dxf>
      <x:font>
        <x:b/>
        <x:color rgb="FF1C6B3C"/>
      </x:font>
      <x:fill>
        <x:patternFill patternType="solid">
          <x:bgColor rgb="FFE4F6EE"/>
        </x:patternFill>
      </x:fill>
    </x:dxf>
    <x:dxf>
      <x:font>
        <x:b/>
        <x:color rgb="FF1C6B3C"/>
      </x:font>
      <x:fill>
        <x:patternFill patternType="solid">
          <x:bgColor rgb="FFE4F6EE"/>
        </x:patternFill>
      </x:fill>
    </x:dxf>
    <x:dxf>
      <x:font>
        <x:b/>
        <x:color rgb="FF8A5B00"/>
      </x:font>
      <x:fill>
        <x:patternFill patternType="solid">
          <x:bgColor rgb="FFFFF2D6"/>
        </x:patternFill>
      </x:fill>
    </x:dxf>
    <x:dxf>
      <x:font>
        <x:b/>
        <x:color rgb="FF8B1E2D"/>
      </x:font>
      <x:fill>
        <x:patternFill patternType="solid">
          <x:bgColor rgb="FFFDE8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c702c32774b20" /><Relationship Type="http://schemas.openxmlformats.org/officeDocument/2006/relationships/theme" Target="/xl/theme/theme1.xml" Id="Re9c67155fc2d4b9a" /><Relationship Type="http://schemas.openxmlformats.org/officeDocument/2006/relationships/sharedStrings" Target="/xl/sharedStrings.xml" Id="R9de9606c3607427f" /><Relationship Type="http://schemas.openxmlformats.org/officeDocument/2006/relationships/worksheet" Target="/xl/worksheets/sheet1.xml" Id="Rfc38dec181694598" /><Relationship Type="http://schemas.openxmlformats.org/officeDocument/2006/relationships/worksheet" Target="/xl/worksheets/sheet2.xml" Id="R1db2b001c08f44e5" /><Relationship Type="http://schemas.openxmlformats.org/officeDocument/2006/relationships/worksheet" Target="/xl/worksheets/sheet3.xml" Id="Rac585572ceee41be" /><Relationship Type="http://schemas.openxmlformats.org/officeDocument/2006/relationships/worksheet" Target="/xl/worksheets/sheet4.xml" Id="Rd2815d245cbe4535" /><Relationship Type="http://schemas.openxmlformats.org/officeDocument/2006/relationships/worksheet" Target="/xl/worksheets/sheet5.xml" Id="R474b8f2dccd5499d" /><Relationship Type="http://schemas.openxmlformats.org/officeDocument/2006/relationships/worksheet" Target="/xl/worksheets/sheet6.xml" Id="Rc9d4bf1ff0144c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8c5d91c7ac45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Training Status by Staff Count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Staff</c:v>
          </c:tx>
          <c:cat>
            <c:strRef>
              <c:f>'Dashboard'!$A$20:$A$22</c:f>
              <c:strCache>
                <c:ptCount val="0"/>
              </c:strCache>
            </c:strRef>
          </c:cat>
          <c:val>
            <c:numRef>
              <c:f>'Dashboard'!$B$20:$B$22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8c5d91c7ac45c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7db94f133b4c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6" t="str">
        <x:v>SCHEDULING, TRAINING &amp; COMPLIANCE DASHBOARD</x:v>
      </x:c>
      <x:c r="B1" s="26"/>
      <x:c r="C1" s="26"/>
      <x:c r="D1" s="26"/>
      <x:c r="E1" s="26"/>
      <x:c r="F1" s="26"/>
      <x:c r="G1" s="26"/>
      <x:c r="H1" s="26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28" t="str">
        <x:v>REPORT DATE</x:v>
      </x:c>
      <x:c r="B3" s="30" t="n">
        <x:v>46272</x:v>
      </x:c>
      <x:c r="C3" s="7" t="str">
        <x:v>Personal portfolio project by Rafet | Synthetic sample data | No employer records</x:v>
      </x:c>
      <x:c r="D3" s="7"/>
      <x:c r="E3" s="7"/>
      <x:c r="F3" s="7"/>
      <x:c r="G3" s="7"/>
      <x:c r="H3" s="7"/>
    </x:row>
    <x:row r="5">
      <x:c r="A5" s="12" t="str">
        <x:v>WEEKLY SHIFTS</x:v>
      </x:c>
      <x:c r="B5" s="12"/>
      <x:c r="C5" s="12" t="str">
        <x:v>SHIFTS NEEDING COVER</x:v>
      </x:c>
      <x:c r="D5" s="12"/>
      <x:c r="E5" s="12" t="str">
        <x:v>TRAINING ACTIONS</x:v>
      </x:c>
      <x:c r="F5" s="12"/>
      <x:c r="G5" s="12" t="str">
        <x:v>OPEN ADMIN TASKS</x:v>
      </x:c>
      <x:c r="H5" s="12"/>
    </x:row>
    <x:row r="6">
      <x:c r="A6" s="45" t="n">
        <x:f>COUNTA('Staff Rota'!A6:A19)</x:f>
        <x:v>14</x:v>
      </x:c>
      <x:c r="B6" s="46"/>
      <x:c r="C6" s="46" t="n">
        <x:f>COUNTIF('Staff Rota'!I6:I19,"Needs cover")</x:f>
        <x:v>2</x:v>
      </x:c>
      <x:c r="D6" s="46"/>
      <x:c r="E6" s="46" t="n">
        <x:f>COUNTIF('Training Records'!G6:G15,"OVERDUE")+COUNTIF('Training Records'!G6:G15,"DUE SOON")</x:f>
        <x:v>8</x:v>
      </x:c>
      <x:c r="F6" s="46"/>
      <x:c r="G6" s="46" t="n">
        <x:f>COUNTIF('Admin Tasks'!G6:G14,"Not started")+COUNTIF('Admin Tasks'!G6:G14,"In progress")</x:f>
        <x:v>8</x:v>
      </x:c>
      <x:c r="H6" s="47"/>
    </x:row>
    <x:row r="7">
      <x:c r="A7" s="48"/>
      <x:c r="B7" s="49"/>
      <x:c r="C7" s="49"/>
      <x:c r="D7" s="49"/>
      <x:c r="E7" s="49"/>
      <x:c r="F7" s="49"/>
      <x:c r="G7" s="49"/>
      <x:c r="H7" s="50"/>
    </x:row>
    <x:row r="10">
      <x:c r="A10" s="51" t="str">
        <x:v>PRIORITY EXCEPTIONS</x:v>
      </x:c>
      <x:c r="B10" s="51"/>
      <x:c r="C10" s="51"/>
    </x:row>
    <x:row r="11">
      <x:c r="A11" s="12" t="str">
        <x:v>Area</x:v>
      </x:c>
      <x:c r="B11" s="12" t="str">
        <x:v>Count</x:v>
      </x:c>
    </x:row>
    <x:row r="12">
      <x:c r="A12" s="17" t="str">
        <x:v>Uncovered shifts</x:v>
      </x:c>
      <x:c r="B12" s="17" t="n">
        <x:f>COUNTIF('Staff Rota'!I6:I19,"Needs cover")</x:f>
        <x:v>2</x:v>
      </x:c>
    </x:row>
    <x:row r="13">
      <x:c r="A13" s="18" t="str">
        <x:v>Pending leave</x:v>
      </x:c>
      <x:c r="B13" s="18" t="n">
        <x:f>COUNTIF('Leave and Cover'!F6:F11,"Pending")</x:f>
        <x:v>2</x:v>
      </x:c>
    </x:row>
    <x:row r="14">
      <x:c r="A14" s="18" t="str">
        <x:v>Training overdue</x:v>
      </x:c>
      <x:c r="B14" s="18" t="n">
        <x:f>COUNTIF('Training Records'!G6:G15,"OVERDUE")</x:f>
        <x:v>2</x:v>
      </x:c>
    </x:row>
    <x:row r="15">
      <x:c r="A15" s="19" t="str">
        <x:v>High-priority tasks open</x:v>
      </x:c>
      <x:c r="B15" s="19" t="n">
        <x:f>COUNTIFS('Admin Tasks'!D6:D14,"High",'Admin Tasks'!G6:G14,"&lt;&gt;Complete")</x:f>
        <x:v>4</x:v>
      </x:c>
    </x:row>
    <x:row r="18">
      <x:c r="A18" s="51" t="str">
        <x:v>TRAINING STATUS</x:v>
      </x:c>
      <x:c r="B18" s="51"/>
      <x:c r="C18" s="51"/>
    </x:row>
    <x:row r="19">
      <x:c r="A19" s="12" t="str">
        <x:v>Status</x:v>
      </x:c>
      <x:c r="B19" s="12" t="str">
        <x:v>Staff</x:v>
      </x:c>
    </x:row>
    <x:row r="20">
      <x:c r="A20" s="17" t="str">
        <x:v>OVERDUE</x:v>
      </x:c>
      <x:c r="B20" s="17" t="n">
        <x:f>COUNTIF('Training Records'!$G$6:$G$15,A20)</x:f>
        <x:v>2</x:v>
      </x:c>
    </x:row>
    <x:row r="21">
      <x:c r="A21" s="18" t="str">
        <x:v>DUE SOON</x:v>
      </x:c>
      <x:c r="B21" s="18" t="n">
        <x:f>COUNTIF('Training Records'!$G$6:$G$15,A21)</x:f>
        <x:v>6</x:v>
      </x:c>
    </x:row>
    <x:row r="22">
      <x:c r="A22" s="19" t="str">
        <x:v>CURRENT</x:v>
      </x:c>
      <x:c r="B22" s="19" t="n">
        <x:f>COUNTIF('Training Records'!$G$6:$G$15,A22)</x:f>
        <x:v>2</x:v>
      </x:c>
    </x:row>
    <x:row r="24">
      <x:c r="A24" s="53" t="str">
        <x:v>Recruiter note: this fictional project demonstrates scheduling, training administration, leave coordination, record keeping and follow-up. It does not contain employer or employee data.</x:v>
      </x:c>
      <x:c r="B24" s="53"/>
      <x:c r="C24" s="53"/>
      <x:c r="D24" s="53"/>
      <x:c r="E24" s="53"/>
      <x:c r="F24" s="53"/>
      <x:c r="G24" s="53"/>
      <x:c r="H24" s="53"/>
    </x:row>
    <x:row r="25">
      <x:c r="A25" s="53"/>
      <x:c r="B25" s="53"/>
      <x:c r="C25" s="53"/>
      <x:c r="D25" s="53"/>
      <x:c r="E25" s="53"/>
      <x:c r="F25" s="53"/>
      <x:c r="G25" s="53"/>
      <x:c r="H25" s="53"/>
    </x:row>
  </x:sheetData>
  <x:mergeCells>
    <x:mergeCell ref="A1:H2"/>
    <x:mergeCell ref="C3:H3"/>
    <x:mergeCell ref="A5:B5"/>
    <x:mergeCell ref="C5:D5"/>
    <x:mergeCell ref="E5:F5"/>
    <x:mergeCell ref="G5:H5"/>
    <x:mergeCell ref="A6:B7"/>
    <x:mergeCell ref="C6:D7"/>
    <x:mergeCell ref="E6:F7"/>
    <x:mergeCell ref="G6:H7"/>
    <x:mergeCell ref="A10:C10"/>
    <x:mergeCell ref="A18:C18"/>
    <x:mergeCell ref="A24:H25"/>
  </x:mergeCells>
  <x:pageMargins left="0.7" right="0.7" top="0.75" bottom="0.75" header="0.3" footer="0.3"/>
  <x:drawing xmlns:r="http://schemas.openxmlformats.org/officeDocument/2006/relationships" r:id="Rad7db94f133b4c6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8" hidden="0" customWidth="1"/>
    <x:col min="9" max="9" width="19" hidden="0" customWidth="1"/>
    <x:col min="10" max="10" width="27" hidden="0" customWidth="1"/>
  </x:cols>
  <x:sheetData>
    <x:row r="1">
      <x:c r="A1" s="4" t="str">
        <x:v>STAFF ROTA &amp; COVER PLAN — SAMPLE DATA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7" t="str">
        <x:v>Tracks shift allocation, hours and coverage exceptions for one working week.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2" t="str">
        <x:v>Date</x:v>
      </x:c>
      <x:c r="B5" s="12" t="str">
        <x:v>Day</x:v>
      </x:c>
      <x:c r="C5" s="12" t="str">
        <x:v>Shift</x:v>
      </x:c>
      <x:c r="D5" s="12" t="str">
        <x:v>Start</x:v>
      </x:c>
      <x:c r="E5" s="12" t="str">
        <x:v>End</x:v>
      </x:c>
      <x:c r="F5" s="12" t="str">
        <x:v>Hours</x:v>
      </x:c>
      <x:c r="G5" s="12" t="str">
        <x:v>Role</x:v>
      </x:c>
      <x:c r="H5" s="12" t="str">
        <x:v>Assigned Staff</x:v>
      </x:c>
      <x:c r="I5" s="12" t="str">
        <x:v>Coverage Status</x:v>
      </x:c>
      <x:c r="J5" s="12" t="str">
        <x:v>Notes</x:v>
      </x:c>
    </x:row>
    <x:row r="6">
      <x:c r="A6" s="20" t="n">
        <x:v>46272</x:v>
      </x:c>
      <x:c r="B6" s="17" t="str">
        <x:v>Monday</x:v>
      </x:c>
      <x:c r="C6" s="17" t="str">
        <x:v>Early</x:v>
      </x:c>
      <x:c r="D6" s="17" t="str">
        <x:v>07:00</x:v>
      </x:c>
      <x:c r="E6" s="17" t="str">
        <x:v>15:00</x:v>
      </x:c>
      <x:c r="F6" s="17" t="n">
        <x:v>8</x:v>
      </x:c>
      <x:c r="G6" s="17" t="str">
        <x:v>Team Lead</x:v>
      </x:c>
      <x:c r="H6" s="17" t="str">
        <x:v>Staff A</x:v>
      </x:c>
      <x:c r="I6" s="17" t="str">
        <x:v>Covered</x:v>
      </x:c>
      <x:c r="J6" s="17" t="str">
        <x:v>Opening checks</x:v>
      </x:c>
    </x:row>
    <x:row r="7">
      <x:c r="A7" s="21" t="n">
        <x:v>46272</x:v>
      </x:c>
      <x:c r="B7" s="18" t="str">
        <x:v>Monday</x:v>
      </x:c>
      <x:c r="C7" s="18" t="str">
        <x:v>Late</x:v>
      </x:c>
      <x:c r="D7" s="18" t="str">
        <x:v>14:00</x:v>
      </x:c>
      <x:c r="E7" s="18" t="str">
        <x:v>22:00</x:v>
      </x:c>
      <x:c r="F7" s="18" t="n">
        <x:v>8</x:v>
      </x:c>
      <x:c r="G7" s="18" t="str">
        <x:v>Coordinator</x:v>
      </x:c>
      <x:c r="H7" s="18" t="str">
        <x:v>Staff B</x:v>
      </x:c>
      <x:c r="I7" s="18" t="str">
        <x:v>Covered</x:v>
      </x:c>
      <x:c r="J7" s="18" t="str">
        <x:v>Closing report</x:v>
      </x:c>
    </x:row>
    <x:row r="8">
      <x:c r="A8" s="21" t="n">
        <x:v>46273</x:v>
      </x:c>
      <x:c r="B8" s="18" t="str">
        <x:v>Tuesday</x:v>
      </x:c>
      <x:c r="C8" s="18" t="str">
        <x:v>Early</x:v>
      </x:c>
      <x:c r="D8" s="18" t="str">
        <x:v>07:00</x:v>
      </x:c>
      <x:c r="E8" s="18" t="str">
        <x:v>15:00</x:v>
      </x:c>
      <x:c r="F8" s="18" t="n">
        <x:v>8</x:v>
      </x:c>
      <x:c r="G8" s="18" t="str">
        <x:v>Administrator</x:v>
      </x:c>
      <x:c r="H8" s="18" t="str">
        <x:v>Staff C</x:v>
      </x:c>
      <x:c r="I8" s="18" t="str">
        <x:v>Covered</x:v>
      </x:c>
      <x:c r="J8" s="18" t="str">
        <x:v>Visitor and records support</x:v>
      </x:c>
    </x:row>
    <x:row r="9">
      <x:c r="A9" s="21" t="n">
        <x:v>46273</x:v>
      </x:c>
      <x:c r="B9" s="18" t="str">
        <x:v>Tuesday</x:v>
      </x:c>
      <x:c r="C9" s="18" t="str">
        <x:v>Late</x:v>
      </x:c>
      <x:c r="D9" s="18" t="str">
        <x:v>14:00</x:v>
      </x:c>
      <x:c r="E9" s="18" t="str">
        <x:v>22:00</x:v>
      </x:c>
      <x:c r="F9" s="18" t="n">
        <x:v>8</x:v>
      </x:c>
      <x:c r="G9" s="18" t="str">
        <x:v>Coordinator</x:v>
      </x:c>
      <x:c r="H9" s="18" t="str">
        <x:v>Unassigned</x:v>
      </x:c>
      <x:c r="I9" s="18" t="str">
        <x:v>Needs cover</x:v>
      </x:c>
      <x:c r="J9" s="18" t="str">
        <x:v>Leave request approved</x:v>
      </x:c>
    </x:row>
    <x:row r="10">
      <x:c r="A10" s="21" t="n">
        <x:v>46274</x:v>
      </x:c>
      <x:c r="B10" s="18" t="str">
        <x:v>Wednesday</x:v>
      </x:c>
      <x:c r="C10" s="18" t="str">
        <x:v>Early</x:v>
      </x:c>
      <x:c r="D10" s="18" t="str">
        <x:v>07:00</x:v>
      </x:c>
      <x:c r="E10" s="18" t="str">
        <x:v>15:00</x:v>
      </x:c>
      <x:c r="F10" s="18" t="n">
        <x:v>8</x:v>
      </x:c>
      <x:c r="G10" s="18" t="str">
        <x:v>Team Lead</x:v>
      </x:c>
      <x:c r="H10" s="18" t="str">
        <x:v>Staff D</x:v>
      </x:c>
      <x:c r="I10" s="18" t="str">
        <x:v>Covered</x:v>
      </x:c>
      <x:c r="J10" s="18" t="str">
        <x:v>Training observation</x:v>
      </x:c>
    </x:row>
    <x:row r="11">
      <x:c r="A11" s="21" t="n">
        <x:v>46274</x:v>
      </x:c>
      <x:c r="B11" s="18" t="str">
        <x:v>Wednesday</x:v>
      </x:c>
      <x:c r="C11" s="18" t="str">
        <x:v>Late</x:v>
      </x:c>
      <x:c r="D11" s="18" t="str">
        <x:v>14:00</x:v>
      </x:c>
      <x:c r="E11" s="18" t="str">
        <x:v>22:00</x:v>
      </x:c>
      <x:c r="F11" s="18" t="n">
        <x:v>8</x:v>
      </x:c>
      <x:c r="G11" s="18" t="str">
        <x:v>Administrator</x:v>
      </x:c>
      <x:c r="H11" s="18" t="str">
        <x:v>Staff E</x:v>
      </x:c>
      <x:c r="I11" s="18" t="str">
        <x:v>Covered</x:v>
      </x:c>
      <x:c r="J11" s="18" t="str">
        <x:v>Records update</x:v>
      </x:c>
    </x:row>
    <x:row r="12">
      <x:c r="A12" s="21" t="n">
        <x:v>46275</x:v>
      </x:c>
      <x:c r="B12" s="18" t="str">
        <x:v>Thursday</x:v>
      </x:c>
      <x:c r="C12" s="18" t="str">
        <x:v>Early</x:v>
      </x:c>
      <x:c r="D12" s="18" t="str">
        <x:v>07:00</x:v>
      </x:c>
      <x:c r="E12" s="18" t="str">
        <x:v>15:00</x:v>
      </x:c>
      <x:c r="F12" s="18" t="n">
        <x:v>8</x:v>
      </x:c>
      <x:c r="G12" s="18" t="str">
        <x:v>Coordinator</x:v>
      </x:c>
      <x:c r="H12" s="18" t="str">
        <x:v>Staff F</x:v>
      </x:c>
      <x:c r="I12" s="18" t="str">
        <x:v>Covered</x:v>
      </x:c>
      <x:c r="J12" s="18" t="str">
        <x:v>Supplier calls</x:v>
      </x:c>
    </x:row>
    <x:row r="13">
      <x:c r="A13" s="21" t="n">
        <x:v>46275</x:v>
      </x:c>
      <x:c r="B13" s="18" t="str">
        <x:v>Thursday</x:v>
      </x:c>
      <x:c r="C13" s="18" t="str">
        <x:v>Late</x:v>
      </x:c>
      <x:c r="D13" s="18" t="str">
        <x:v>14:00</x:v>
      </x:c>
      <x:c r="E13" s="18" t="str">
        <x:v>22:00</x:v>
      </x:c>
      <x:c r="F13" s="18" t="n">
        <x:v>8</x:v>
      </x:c>
      <x:c r="G13" s="18" t="str">
        <x:v>Team Lead</x:v>
      </x:c>
      <x:c r="H13" s="18" t="str">
        <x:v>Staff G</x:v>
      </x:c>
      <x:c r="I13" s="18" t="str">
        <x:v>Covered</x:v>
      </x:c>
      <x:c r="J13" s="18" t="str">
        <x:v>Compliance check</x:v>
      </x:c>
    </x:row>
    <x:row r="14">
      <x:c r="A14" s="21" t="n">
        <x:v>46276</x:v>
      </x:c>
      <x:c r="B14" s="18" t="str">
        <x:v>Friday</x:v>
      </x:c>
      <x:c r="C14" s="18" t="str">
        <x:v>Early</x:v>
      </x:c>
      <x:c r="D14" s="18" t="str">
        <x:v>07:00</x:v>
      </x:c>
      <x:c r="E14" s="18" t="str">
        <x:v>15:00</x:v>
      </x:c>
      <x:c r="F14" s="18" t="n">
        <x:v>8</x:v>
      </x:c>
      <x:c r="G14" s="18" t="str">
        <x:v>Administrator</x:v>
      </x:c>
      <x:c r="H14" s="18" t="str">
        <x:v>Unassigned</x:v>
      </x:c>
      <x:c r="I14" s="18" t="str">
        <x:v>Needs cover</x:v>
      </x:c>
      <x:c r="J14" s="18" t="str">
        <x:v>Awaiting availability</x:v>
      </x:c>
    </x:row>
    <x:row r="15">
      <x:c r="A15" s="21" t="n">
        <x:v>46276</x:v>
      </x:c>
      <x:c r="B15" s="18" t="str">
        <x:v>Friday</x:v>
      </x:c>
      <x:c r="C15" s="18" t="str">
        <x:v>Late</x:v>
      </x:c>
      <x:c r="D15" s="18" t="str">
        <x:v>14:00</x:v>
      </x:c>
      <x:c r="E15" s="18" t="str">
        <x:v>22:00</x:v>
      </x:c>
      <x:c r="F15" s="18" t="n">
        <x:v>8</x:v>
      </x:c>
      <x:c r="G15" s="18" t="str">
        <x:v>Coordinator</x:v>
      </x:c>
      <x:c r="H15" s="18" t="str">
        <x:v>Staff H</x:v>
      </x:c>
      <x:c r="I15" s="18" t="str">
        <x:v>Covered</x:v>
      </x:c>
      <x:c r="J15" s="18" t="str">
        <x:v>Weekly summary</x:v>
      </x:c>
    </x:row>
    <x:row r="16">
      <x:c r="A16" s="21" t="n">
        <x:v>46277</x:v>
      </x:c>
      <x:c r="B16" s="18" t="str">
        <x:v>Saturday</x:v>
      </x:c>
      <x:c r="C16" s="18" t="str">
        <x:v>Early</x:v>
      </x:c>
      <x:c r="D16" s="18" t="str">
        <x:v>08:00</x:v>
      </x:c>
      <x:c r="E16" s="18" t="str">
        <x:v>16:00</x:v>
      </x:c>
      <x:c r="F16" s="18" t="n">
        <x:v>8</x:v>
      </x:c>
      <x:c r="G16" s="18" t="str">
        <x:v>Team Lead</x:v>
      </x:c>
      <x:c r="H16" s="18" t="str">
        <x:v>Staff I</x:v>
      </x:c>
      <x:c r="I16" s="18" t="str">
        <x:v>Covered</x:v>
      </x:c>
      <x:c r="J16" s="18" t="str">
        <x:v>Weekend supervision</x:v>
      </x:c>
    </x:row>
    <x:row r="17">
      <x:c r="A17" s="21" t="n">
        <x:v>46277</x:v>
      </x:c>
      <x:c r="B17" s="18" t="str">
        <x:v>Saturday</x:v>
      </x:c>
      <x:c r="C17" s="18" t="str">
        <x:v>Late</x:v>
      </x:c>
      <x:c r="D17" s="18" t="str">
        <x:v>12:00</x:v>
      </x:c>
      <x:c r="E17" s="18" t="str">
        <x:v>20:00</x:v>
      </x:c>
      <x:c r="F17" s="18" t="n">
        <x:v>8</x:v>
      </x:c>
      <x:c r="G17" s="18" t="str">
        <x:v>Administrator</x:v>
      </x:c>
      <x:c r="H17" s="18" t="str">
        <x:v>Staff J</x:v>
      </x:c>
      <x:c r="I17" s="18" t="str">
        <x:v>Covered</x:v>
      </x:c>
      <x:c r="J17" s="18" t="str">
        <x:v>Customer support</x:v>
      </x:c>
    </x:row>
    <x:row r="18">
      <x:c r="A18" s="21" t="n">
        <x:v>46278</x:v>
      </x:c>
      <x:c r="B18" s="18" t="str">
        <x:v>Sunday</x:v>
      </x:c>
      <x:c r="C18" s="18" t="str">
        <x:v>Early</x:v>
      </x:c>
      <x:c r="D18" s="18" t="str">
        <x:v>09:00</x:v>
      </x:c>
      <x:c r="E18" s="18" t="str">
        <x:v>17:00</x:v>
      </x:c>
      <x:c r="F18" s="18" t="n">
        <x:v>8</x:v>
      </x:c>
      <x:c r="G18" s="18" t="str">
        <x:v>Coordinator</x:v>
      </x:c>
      <x:c r="H18" s="18" t="str">
        <x:v>Staff B</x:v>
      </x:c>
      <x:c r="I18" s="18" t="str">
        <x:v>Covered</x:v>
      </x:c>
      <x:c r="J18" s="18" t="str">
        <x:v>Weekend coordination</x:v>
      </x:c>
    </x:row>
    <x:row r="19">
      <x:c r="A19" s="22" t="n">
        <x:v>46278</x:v>
      </x:c>
      <x:c r="B19" s="19" t="str">
        <x:v>Sunday</x:v>
      </x:c>
      <x:c r="C19" s="19" t="str">
        <x:v>Late</x:v>
      </x:c>
      <x:c r="D19" s="19" t="str">
        <x:v>12:00</x:v>
      </x:c>
      <x:c r="E19" s="19" t="str">
        <x:v>20:00</x:v>
      </x:c>
      <x:c r="F19" s="19" t="n">
        <x:v>8</x:v>
      </x:c>
      <x:c r="G19" s="19" t="str">
        <x:v>Team Lead</x:v>
      </x:c>
      <x:c r="H19" s="19" t="str">
        <x:v>Staff A</x:v>
      </x:c>
      <x:c r="I19" s="19" t="str">
        <x:v>Covered</x:v>
      </x:c>
      <x:c r="J19" s="19" t="str">
        <x:v>Closing review</x:v>
      </x:c>
    </x:row>
  </x:sheetData>
  <x:mergeCells>
    <x:mergeCell ref="A1:J2"/>
    <x:mergeCell ref="A3:J3"/>
  </x:mergeCells>
  <x:conditionalFormatting sqref="I6:I100">
    <x:cfRule type="containsText" dxfId="0" priority="1" operator="containsText" text="Covered"/>
    <x:cfRule type="containsText" dxfId="1" priority="2" operator="containsText" text="Needs cover"/>
  </x:conditionalFormatting>
  <x:dataValidations count="1">
    <x:dataValidation type="list" sqref="I6:I100">
      <x:formula1>"Covered,Needs cover,Pending confirmation"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29" hidden="0" customWidth="1"/>
  </x:cols>
  <x:sheetData>
    <x:row r="1">
      <x:c r="A1" s="4" t="str">
        <x:v>TRAINING &amp; COMPLIANCE RECORDS — SAMPLE DATA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7" t="str">
        <x:v>Highlights overdue and upcoming training so invitations and follow-up can be prioritised.</x:v>
      </x:c>
      <x:c r="B3" s="7"/>
      <x:c r="C3" s="7"/>
      <x:c r="D3" s="7"/>
      <x:c r="E3" s="7"/>
      <x:c r="F3" s="7"/>
      <x:c r="G3" s="7"/>
      <x:c r="H3" s="7"/>
    </x:row>
    <x:row r="5">
      <x:c r="A5" s="12" t="str">
        <x:v>Staff</x:v>
      </x:c>
      <x:c r="B5" s="12" t="str">
        <x:v>Role</x:v>
      </x:c>
      <x:c r="C5" s="12" t="str">
        <x:v>Health &amp; Safety Due</x:v>
      </x:c>
      <x:c r="D5" s="12" t="str">
        <x:v>Fire Safety Due</x:v>
      </x:c>
      <x:c r="E5" s="12" t="str">
        <x:v>Customer Service Due</x:v>
      </x:c>
      <x:c r="F5" s="12" t="str">
        <x:v>Data Protection Due</x:v>
      </x:c>
      <x:c r="G5" s="12" t="str">
        <x:v>Overall Status</x:v>
      </x:c>
      <x:c r="H5" s="12" t="str">
        <x:v>Next Action</x:v>
      </x:c>
    </x:row>
    <x:row r="6">
      <x:c r="A6" s="17" t="str">
        <x:v>Staff A</x:v>
      </x:c>
      <x:c r="B6" s="17" t="str">
        <x:v>Team Lead</x:v>
      </x:c>
      <x:c r="C6" s="20" t="n">
        <x:v>46428</x:v>
      </x:c>
      <x:c r="D6" s="20" t="n">
        <x:v>46287</x:v>
      </x:c>
      <x:c r="E6" s="20" t="n">
        <x:v>46402</x:v>
      </x:c>
      <x:c r="F6" s="20" t="n">
        <x:v>46357</x:v>
      </x:c>
      <x:c r="G6" s="17" t="str">
        <x:f>IF(MIN(C6:F6)&lt;'Dashboard'!$B$3,"OVERDUE",IF(MIN(C6:F6)&lt;='Dashboard'!$B$3+30,"DUE SOON","CURRENT"))</x:f>
        <x:v>DUE SOON</x:v>
      </x:c>
      <x:c r="H6" s="17" t="str">
        <x:f>IF(G6="OVERDUE","Book training immediately",IF(G6="DUE SOON","Send reminder and schedule","No action"))</x:f>
        <x:v>Send reminder and schedule</x:v>
      </x:c>
    </x:row>
    <x:row r="7">
      <x:c r="A7" s="18" t="str">
        <x:v>Staff B</x:v>
      </x:c>
      <x:c r="B7" s="18" t="str">
        <x:v>Coordinator</x:v>
      </x:c>
      <x:c r="C7" s="21" t="n">
        <x:v>46338</x:v>
      </x:c>
      <x:c r="D7" s="21" t="n">
        <x:v>46297</x:v>
      </x:c>
      <x:c r="E7" s="21" t="n">
        <x:v>46466</x:v>
      </x:c>
      <x:c r="F7" s="21" t="n">
        <x:v>46283</x:v>
      </x:c>
      <x:c r="G7" s="18" t="str">
        <x:f>IF(MIN(C7:F7)&lt;'Dashboard'!$B$3,"OVERDUE",IF(MIN(C7:F7)&lt;='Dashboard'!$B$3+30,"DUE SOON","CURRENT"))</x:f>
        <x:v>DUE SOON</x:v>
      </x:c>
      <x:c r="H7" s="18" t="str">
        <x:f>IF(G7="OVERDUE","Book training immediately",IF(G7="DUE SOON","Send reminder and schedule","No action"))</x:f>
        <x:v>Send reminder and schedule</x:v>
      </x:c>
    </x:row>
    <x:row r="8">
      <x:c r="A8" s="18" t="str">
        <x:v>Staff C</x:v>
      </x:c>
      <x:c r="B8" s="18" t="str">
        <x:v>Administrator</x:v>
      </x:c>
      <x:c r="C8" s="21" t="n">
        <x:v>46264</x:v>
      </x:c>
      <x:c r="D8" s="21" t="n">
        <x:v>46371</x:v>
      </x:c>
      <x:c r="E8" s="21" t="n">
        <x:v>46419</x:v>
      </x:c>
      <x:c r="F8" s="21" t="n">
        <x:v>46337</x:v>
      </x:c>
      <x:c r="G8" s="18" t="str">
        <x:f>IF(MIN(C8:F8)&lt;'Dashboard'!$B$3,"OVERDUE",IF(MIN(C8:F8)&lt;='Dashboard'!$B$3+30,"DUE SOON","CURRENT"))</x:f>
        <x:v>OVERDUE</x:v>
      </x:c>
      <x:c r="H8" s="18" t="str">
        <x:f>IF(G8="OVERDUE","Book training immediately",IF(G8="DUE SOON","Send reminder and schedule","No action"))</x:f>
        <x:v>Book training immediately</x:v>
      </x:c>
    </x:row>
    <x:row r="9">
      <x:c r="A9" s="18" t="str">
        <x:v>Staff D</x:v>
      </x:c>
      <x:c r="B9" s="18" t="str">
        <x:v>Team Lead</x:v>
      </x:c>
      <x:c r="C9" s="21" t="n">
        <x:v>46395</x:v>
      </x:c>
      <x:c r="D9" s="21" t="n">
        <x:v>46426</x:v>
      </x:c>
      <x:c r="E9" s="21" t="n">
        <x:v>46290</x:v>
      </x:c>
      <x:c r="F9" s="21" t="n">
        <x:v>46405</x:v>
      </x:c>
      <x:c r="G9" s="18" t="str">
        <x:f>IF(MIN(C9:F9)&lt;'Dashboard'!$B$3,"OVERDUE",IF(MIN(C9:F9)&lt;='Dashboard'!$B$3+30,"DUE SOON","CURRENT"))</x:f>
        <x:v>DUE SOON</x:v>
      </x:c>
      <x:c r="H9" s="18" t="str">
        <x:f>IF(G9="OVERDUE","Book training immediately",IF(G9="DUE SOON","Send reminder and schedule","No action"))</x:f>
        <x:v>Send reminder and schedule</x:v>
      </x:c>
    </x:row>
    <x:row r="10">
      <x:c r="A10" s="18" t="str">
        <x:v>Staff E</x:v>
      </x:c>
      <x:c r="B10" s="18" t="str">
        <x:v>Administrator</x:v>
      </x:c>
      <x:c r="C10" s="21" t="n">
        <x:v>46300</x:v>
      </x:c>
      <x:c r="D10" s="21" t="n">
        <x:v>46346</x:v>
      </x:c>
      <x:c r="E10" s="21" t="n">
        <x:v>46366</x:v>
      </x:c>
      <x:c r="F10" s="21" t="n">
        <x:v>46420</x:v>
      </x:c>
      <x:c r="G10" s="18" t="str">
        <x:f>IF(MIN(C10:F10)&lt;'Dashboard'!$B$3,"OVERDUE",IF(MIN(C10:F10)&lt;='Dashboard'!$B$3+30,"DUE SOON","CURRENT"))</x:f>
        <x:v>DUE SOON</x:v>
      </x:c>
      <x:c r="H10" s="18" t="str">
        <x:f>IF(G10="OVERDUE","Book training immediately",IF(G10="DUE SOON","Send reminder and schedule","No action"))</x:f>
        <x:v>Send reminder and schedule</x:v>
      </x:c>
    </x:row>
    <x:row r="11">
      <x:c r="A11" s="18" t="str">
        <x:v>Staff F</x:v>
      </x:c>
      <x:c r="B11" s="18" t="str">
        <x:v>Coordinator</x:v>
      </x:c>
      <x:c r="C11" s="21" t="n">
        <x:v>46447</x:v>
      </x:c>
      <x:c r="D11" s="21" t="n">
        <x:v>46399</x:v>
      </x:c>
      <x:c r="E11" s="21" t="n">
        <x:v>46487</x:v>
      </x:c>
      <x:c r="F11" s="21" t="n">
        <x:v>46433</x:v>
      </x:c>
      <x:c r="G11" s="18" t="str">
        <x:f>IF(MIN(C11:F11)&lt;'Dashboard'!$B$3,"OVERDUE",IF(MIN(C11:F11)&lt;='Dashboard'!$B$3+30,"DUE SOON","CURRENT"))</x:f>
        <x:v>CURRENT</x:v>
      </x:c>
      <x:c r="H11" s="18" t="str">
        <x:f>IF(G11="OVERDUE","Book training immediately",IF(G11="DUE SOON","Send reminder and schedule","No action"))</x:f>
        <x:v>No action</x:v>
      </x:c>
    </x:row>
    <x:row r="12">
      <x:c r="A12" s="18" t="str">
        <x:v>Staff G</x:v>
      </x:c>
      <x:c r="B12" s="18" t="str">
        <x:v>Team Lead</x:v>
      </x:c>
      <x:c r="C12" s="21" t="n">
        <x:v>46262</x:v>
      </x:c>
      <x:c r="D12" s="21" t="n">
        <x:v>46360</x:v>
      </x:c>
      <x:c r="E12" s="21" t="n">
        <x:v>46407</x:v>
      </x:c>
      <x:c r="F12" s="21" t="n">
        <x:v>46296</x:v>
      </x:c>
      <x:c r="G12" s="18" t="str">
        <x:f>IF(MIN(C12:F12)&lt;'Dashboard'!$B$3,"OVERDUE",IF(MIN(C12:F12)&lt;='Dashboard'!$B$3+30,"DUE SOON","CURRENT"))</x:f>
        <x:v>OVERDUE</x:v>
      </x:c>
      <x:c r="H12" s="18" t="str">
        <x:f>IF(G12="OVERDUE","Book training immediately",IF(G12="DUE SOON","Send reminder and schedule","No action"))</x:f>
        <x:v>Book training immediately</x:v>
      </x:c>
    </x:row>
    <x:row r="13">
      <x:c r="A13" s="18" t="str">
        <x:v>Staff H</x:v>
      </x:c>
      <x:c r="B13" s="18" t="str">
        <x:v>Coordinator</x:v>
      </x:c>
      <x:c r="C13" s="21" t="n">
        <x:v>46368</x:v>
      </x:c>
      <x:c r="D13" s="21" t="n">
        <x:v>46422</x:v>
      </x:c>
      <x:c r="E13" s="21" t="n">
        <x:v>46280</x:v>
      </x:c>
      <x:c r="F13" s="21" t="n">
        <x:v>46449</x:v>
      </x:c>
      <x:c r="G13" s="18" t="str">
        <x:f>IF(MIN(C13:F13)&lt;'Dashboard'!$B$3,"OVERDUE",IF(MIN(C13:F13)&lt;='Dashboard'!$B$3+30,"DUE SOON","CURRENT"))</x:f>
        <x:v>DUE SOON</x:v>
      </x:c>
      <x:c r="H13" s="18" t="str">
        <x:f>IF(G13="OVERDUE","Book training immediately",IF(G13="DUE SOON","Send reminder and schedule","No action"))</x:f>
        <x:v>Send reminder and schedule</x:v>
      </x:c>
    </x:row>
    <x:row r="14">
      <x:c r="A14" s="18" t="str">
        <x:v>Staff I</x:v>
      </x:c>
      <x:c r="B14" s="18" t="str">
        <x:v>Team Lead</x:v>
      </x:c>
      <x:c r="C14" s="21" t="n">
        <x:v>46407</x:v>
      </x:c>
      <x:c r="D14" s="21" t="n">
        <x:v>46461</x:v>
      </x:c>
      <x:c r="E14" s="21" t="n">
        <x:v>46446</x:v>
      </x:c>
      <x:c r="F14" s="21" t="n">
        <x:v>46392</x:v>
      </x:c>
      <x:c r="G14" s="18" t="str">
        <x:f>IF(MIN(C14:F14)&lt;'Dashboard'!$B$3,"OVERDUE",IF(MIN(C14:F14)&lt;='Dashboard'!$B$3+30,"DUE SOON","CURRENT"))</x:f>
        <x:v>CURRENT</x:v>
      </x:c>
      <x:c r="H14" s="18" t="str">
        <x:f>IF(G14="OVERDUE","Book training immediately",IF(G14="DUE SOON","Send reminder and schedule","No action"))</x:f>
        <x:v>No action</x:v>
      </x:c>
    </x:row>
    <x:row r="15">
      <x:c r="A15" s="19" t="str">
        <x:v>Staff J</x:v>
      </x:c>
      <x:c r="B15" s="19" t="str">
        <x:v>Administrator</x:v>
      </x:c>
      <x:c r="C15" s="22" t="n">
        <x:v>46327</x:v>
      </x:c>
      <x:c r="D15" s="22" t="n">
        <x:v>46294</x:v>
      </x:c>
      <x:c r="E15" s="22" t="n">
        <x:v>46373</x:v>
      </x:c>
      <x:c r="F15" s="22" t="n">
        <x:v>46430</x:v>
      </x:c>
      <x:c r="G15" s="19" t="str">
        <x:f>IF(MIN(C15:F15)&lt;'Dashboard'!$B$3,"OVERDUE",IF(MIN(C15:F15)&lt;='Dashboard'!$B$3+30,"DUE SOON","CURRENT"))</x:f>
        <x:v>DUE SOON</x:v>
      </x:c>
      <x:c r="H15" s="19" t="str">
        <x:f>IF(G15="OVERDUE","Book training immediately",IF(G15="DUE SOON","Send reminder and schedule","No action"))</x:f>
        <x:v>Send reminder and schedule</x:v>
      </x:c>
    </x:row>
  </x:sheetData>
  <x:mergeCells>
    <x:mergeCell ref="A1:H2"/>
    <x:mergeCell ref="A3:H3"/>
  </x:mergeCells>
  <x:conditionalFormatting sqref="G6:G100">
    <x:cfRule type="containsText" dxfId="2" priority="1" operator="containsText" text="OVERDUE"/>
    <x:cfRule type="containsText" dxfId="3" priority="2" operator="containsText" text="DUE SOON"/>
    <x:cfRule type="containsText" dxfId="4" priority="3" operator="containsText" text="CURREN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7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8" hidden="0" customWidth="1"/>
    <x:col min="9" max="9" width="34" hidden="0" customWidth="1"/>
  </x:cols>
  <x:sheetData>
    <x:row r="1">
      <x:c r="A1" s="4" t="str">
        <x:v>LEAVE &amp; COVER COORDINATION — SAMPLE DATA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>
      <x:c r="A3" s="7" t="str">
        <x:v>Connects leave decisions with shift-cover actions and confirmation status.</x:v>
      </x:c>
      <x:c r="B3" s="7"/>
      <x:c r="C3" s="7"/>
      <x:c r="D3" s="7"/>
      <x:c r="E3" s="7"/>
      <x:c r="F3" s="7"/>
      <x:c r="G3" s="7"/>
      <x:c r="H3" s="7"/>
      <x:c r="I3" s="7"/>
    </x:row>
    <x:row r="5">
      <x:c r="A5" s="12" t="str">
        <x:v>Request ID</x:v>
      </x:c>
      <x:c r="B5" s="12" t="str">
        <x:v>Staff</x:v>
      </x:c>
      <x:c r="C5" s="12" t="str">
        <x:v>Leave Type</x:v>
      </x:c>
      <x:c r="D5" s="12" t="str">
        <x:v>Start</x:v>
      </x:c>
      <x:c r="E5" s="12" t="str">
        <x:v>End</x:v>
      </x:c>
      <x:c r="F5" s="12" t="str">
        <x:v>Decision</x:v>
      </x:c>
      <x:c r="G5" s="12" t="str">
        <x:v>Cover Required</x:v>
      </x:c>
      <x:c r="H5" s="12" t="str">
        <x:v>Cover Assigned</x:v>
      </x:c>
      <x:c r="I5" s="12" t="str">
        <x:v>Coordinator Note</x:v>
      </x:c>
    </x:row>
    <x:row r="6">
      <x:c r="A6" s="17" t="str">
        <x:v>LR-001</x:v>
      </x:c>
      <x:c r="B6" s="17" t="str">
        <x:v>Staff C</x:v>
      </x:c>
      <x:c r="C6" s="17" t="str">
        <x:v>Annual leave</x:v>
      </x:c>
      <x:c r="D6" s="20" t="n">
        <x:v>46273</x:v>
      </x:c>
      <x:c r="E6" s="20" t="n">
        <x:v>46273</x:v>
      </x:c>
      <x:c r="F6" s="17" t="str">
        <x:v>Approved</x:v>
      </x:c>
      <x:c r="G6" s="17" t="str">
        <x:v>Yes</x:v>
      </x:c>
      <x:c r="H6" s="17" t="str">
        <x:v>Unassigned</x:v>
      </x:c>
      <x:c r="I6" s="17" t="str">
        <x:v>Escalate Tuesday late-shift cover</x:v>
      </x:c>
    </x:row>
    <x:row r="7">
      <x:c r="A7" s="18" t="str">
        <x:v>LR-002</x:v>
      </x:c>
      <x:c r="B7" s="18" t="str">
        <x:v>Staff F</x:v>
      </x:c>
      <x:c r="C7" s="18" t="str">
        <x:v>Appointment</x:v>
      </x:c>
      <x:c r="D7" s="21" t="n">
        <x:v>46275</x:v>
      </x:c>
      <x:c r="E7" s="21" t="n">
        <x:v>46275</x:v>
      </x:c>
      <x:c r="F7" s="18" t="str">
        <x:v>Approved</x:v>
      </x:c>
      <x:c r="G7" s="18" t="str">
        <x:v>No</x:v>
      </x:c>
      <x:c r="H7" s="18" t="str">
        <x:v>Not required</x:v>
      </x:c>
      <x:c r="I7" s="18" t="str">
        <x:v>Shift adjusted</x:v>
      </x:c>
    </x:row>
    <x:row r="8">
      <x:c r="A8" s="18" t="str">
        <x:v>LR-003</x:v>
      </x:c>
      <x:c r="B8" s="18" t="str">
        <x:v>Staff J</x:v>
      </x:c>
      <x:c r="C8" s="18" t="str">
        <x:v>Annual leave</x:v>
      </x:c>
      <x:c r="D8" s="21" t="n">
        <x:v>46283</x:v>
      </x:c>
      <x:c r="E8" s="21" t="n">
        <x:v>46285</x:v>
      </x:c>
      <x:c r="F8" s="18" t="str">
        <x:v>Pending</x:v>
      </x:c>
      <x:c r="G8" s="18" t="str">
        <x:v>Yes</x:v>
      </x:c>
      <x:c r="H8" s="18" t="str">
        <x:v>Staff E</x:v>
      </x:c>
      <x:c r="I8" s="18" t="str">
        <x:v>Await manager decision</x:v>
      </x:c>
    </x:row>
    <x:row r="9">
      <x:c r="A9" s="18" t="str">
        <x:v>LR-004</x:v>
      </x:c>
      <x:c r="B9" s="18" t="str">
        <x:v>Staff D</x:v>
      </x:c>
      <x:c r="C9" s="18" t="str">
        <x:v>Training day</x:v>
      </x:c>
      <x:c r="D9" s="21" t="n">
        <x:v>46280</x:v>
      </x:c>
      <x:c r="E9" s="21" t="n">
        <x:v>46280</x:v>
      </x:c>
      <x:c r="F9" s="18" t="str">
        <x:v>Approved</x:v>
      </x:c>
      <x:c r="G9" s="18" t="str">
        <x:v>Yes</x:v>
      </x:c>
      <x:c r="H9" s="18" t="str">
        <x:v>Staff A</x:v>
      </x:c>
      <x:c r="I9" s="18" t="str">
        <x:v>Cover confirmed</x:v>
      </x:c>
    </x:row>
    <x:row r="10">
      <x:c r="A10" s="18" t="str">
        <x:v>LR-005</x:v>
      </x:c>
      <x:c r="B10" s="18" t="str">
        <x:v>Staff H</x:v>
      </x:c>
      <x:c r="C10" s="18" t="str">
        <x:v>Annual leave</x:v>
      </x:c>
      <x:c r="D10" s="21" t="n">
        <x:v>46290</x:v>
      </x:c>
      <x:c r="E10" s="21" t="n">
        <x:v>46292</x:v>
      </x:c>
      <x:c r="F10" s="18" t="str">
        <x:v>Pending</x:v>
      </x:c>
      <x:c r="G10" s="18" t="str">
        <x:v>Yes</x:v>
      </x:c>
      <x:c r="H10" s="18" t="str">
        <x:v>Unassigned</x:v>
      </x:c>
      <x:c r="I10" s="18" t="str">
        <x:v>Check availability list</x:v>
      </x:c>
    </x:row>
    <x:row r="11">
      <x:c r="A11" s="19" t="str">
        <x:v>LR-006</x:v>
      </x:c>
      <x:c r="B11" s="19" t="str">
        <x:v>Staff B</x:v>
      </x:c>
      <x:c r="C11" s="19" t="str">
        <x:v>Appointment</x:v>
      </x:c>
      <x:c r="D11" s="22" t="n">
        <x:v>46278</x:v>
      </x:c>
      <x:c r="E11" s="22" t="n">
        <x:v>46278</x:v>
      </x:c>
      <x:c r="F11" s="19" t="str">
        <x:v>Approved</x:v>
      </x:c>
      <x:c r="G11" s="19" t="str">
        <x:v>No</x:v>
      </x:c>
      <x:c r="H11" s="19" t="str">
        <x:v>Not required</x:v>
      </x:c>
      <x:c r="I11" s="19" t="str">
        <x:v>Starts after appointment</x:v>
      </x:c>
    </x:row>
  </x:sheetData>
  <x:mergeCells>
    <x:mergeCell ref="A1:I2"/>
    <x:mergeCell ref="A3:I3"/>
  </x:mergeCells>
  <x:conditionalFormatting sqref="F6:F100">
    <x:cfRule type="containsText" dxfId="5" priority="1" operator="containsText" text="Pending"/>
    <x:cfRule type="containsText" dxfId="6" priority="2" operator="containsText" text="Approved"/>
  </x:conditionalFormatting>
  <x:dataValidations count="1">
    <x:dataValidation type="list" sqref="F6:F100">
      <x:formula1>"Pending,Approved,Declined"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38" hidden="0" customWidth="1"/>
    <x:col min="4" max="4" width="14" hidden="0" customWidth="1"/>
    <x:col min="5" max="5" width="13" hidden="0" customWidth="1"/>
    <x:col min="6" max="6" width="15" hidden="0" customWidth="1"/>
    <x:col min="7" max="7" width="16" hidden="0" customWidth="1"/>
    <x:col min="8" max="8" width="31" hidden="0" customWidth="1"/>
  </x:cols>
  <x:sheetData>
    <x:row r="1">
      <x:c r="A1" s="4" t="str">
        <x:v>ADMINISTRATIVE ACTION LOG — SAMPLE DATA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7" t="str">
        <x:v>Prioritises deadlines, ownership, evidence and follow-up across routine business-support work.</x:v>
      </x:c>
      <x:c r="B3" s="7"/>
      <x:c r="C3" s="7"/>
      <x:c r="D3" s="7"/>
      <x:c r="E3" s="7"/>
      <x:c r="F3" s="7"/>
      <x:c r="G3" s="7"/>
      <x:c r="H3" s="7"/>
    </x:row>
    <x:row r="5">
      <x:c r="A5" s="12" t="str">
        <x:v>Task ID</x:v>
      </x:c>
      <x:c r="B5" s="12" t="str">
        <x:v>Workstream</x:v>
      </x:c>
      <x:c r="C5" s="12" t="str">
        <x:v>Action</x:v>
      </x:c>
      <x:c r="D5" s="12" t="str">
        <x:v>Priority</x:v>
      </x:c>
      <x:c r="E5" s="12" t="str">
        <x:v>Owner</x:v>
      </x:c>
      <x:c r="F5" s="12" t="str">
        <x:v>Due Date</x:v>
      </x:c>
      <x:c r="G5" s="12" t="str">
        <x:v>Status</x:v>
      </x:c>
      <x:c r="H5" s="12" t="str">
        <x:v>Evidence / Note</x:v>
      </x:c>
    </x:row>
    <x:row r="6">
      <x:c r="A6" s="17" t="str">
        <x:v>AT-001</x:v>
      </x:c>
      <x:c r="B6" s="17" t="str">
        <x:v>Rota</x:v>
      </x:c>
      <x:c r="C6" s="17" t="str">
        <x:v>Confirm Tuesday cover</x:v>
      </x:c>
      <x:c r="D6" s="17" t="str">
        <x:v>High</x:v>
      </x:c>
      <x:c r="E6" s="17" t="str">
        <x:v>Rafet</x:v>
      </x:c>
      <x:c r="F6" s="20" t="n">
        <x:v>46272</x:v>
      </x:c>
      <x:c r="G6" s="17" t="str">
        <x:v>In progress</x:v>
      </x:c>
      <x:c r="H6" s="17" t="str">
        <x:v>Availability requests sent</x:v>
      </x:c>
    </x:row>
    <x:row r="7">
      <x:c r="A7" s="18" t="str">
        <x:v>AT-002</x:v>
      </x:c>
      <x:c r="B7" s="18" t="str">
        <x:v>Training</x:v>
      </x:c>
      <x:c r="C7" s="18" t="str">
        <x:v>Book overdue Health &amp; Safety sessions</x:v>
      </x:c>
      <x:c r="D7" s="18" t="str">
        <x:v>High</x:v>
      </x:c>
      <x:c r="E7" s="18" t="str">
        <x:v>Rafet</x:v>
      </x:c>
      <x:c r="F7" s="21" t="n">
        <x:v>46273</x:v>
      </x:c>
      <x:c r="G7" s="18" t="str">
        <x:v>Not started</x:v>
      </x:c>
      <x:c r="H7" s="18" t="str">
        <x:v>Two staff identified</x:v>
      </x:c>
    </x:row>
    <x:row r="8">
      <x:c r="A8" s="18" t="str">
        <x:v>AT-003</x:v>
      </x:c>
      <x:c r="B8" s="18" t="str">
        <x:v>Records</x:v>
      </x:c>
      <x:c r="C8" s="18" t="str">
        <x:v>File signed training confirmations</x:v>
      </x:c>
      <x:c r="D8" s="18" t="str">
        <x:v>Medium</x:v>
      </x:c>
      <x:c r="E8" s="18" t="str">
        <x:v>Rafet</x:v>
      </x:c>
      <x:c r="F8" s="21" t="n">
        <x:v>46274</x:v>
      </x:c>
      <x:c r="G8" s="18" t="str">
        <x:v>Not started</x:v>
      </x:c>
      <x:c r="H8" s="18" t="str"/>
    </x:row>
    <x:row r="9">
      <x:c r="A9" s="18" t="str">
        <x:v>AT-004</x:v>
      </x:c>
      <x:c r="B9" s="18" t="str">
        <x:v>Leave</x:v>
      </x:c>
      <x:c r="C9" s="18" t="str">
        <x:v>Review pending leave requests</x:v>
      </x:c>
      <x:c r="D9" s="18" t="str">
        <x:v>High</x:v>
      </x:c>
      <x:c r="E9" s="18" t="str">
        <x:v>Rafet</x:v>
      </x:c>
      <x:c r="F9" s="21" t="n">
        <x:v>46273</x:v>
      </x:c>
      <x:c r="G9" s="18" t="str">
        <x:v>Not started</x:v>
      </x:c>
      <x:c r="H9" s="18" t="str">
        <x:v>Two requests pending</x:v>
      </x:c>
    </x:row>
    <x:row r="10">
      <x:c r="A10" s="18" t="str">
        <x:v>AT-005</x:v>
      </x:c>
      <x:c r="B10" s="18" t="str">
        <x:v>Reporting</x:v>
      </x:c>
      <x:c r="C10" s="18" t="str">
        <x:v>Prepare weekly staffing summary</x:v>
      </x:c>
      <x:c r="D10" s="18" t="str">
        <x:v>Medium</x:v>
      </x:c>
      <x:c r="E10" s="18" t="str">
        <x:v>Rafet</x:v>
      </x:c>
      <x:c r="F10" s="21" t="n">
        <x:v>46276</x:v>
      </x:c>
      <x:c r="G10" s="18" t="str">
        <x:v>Not started</x:v>
      </x:c>
      <x:c r="H10" s="18" t="str"/>
    </x:row>
    <x:row r="11">
      <x:c r="A11" s="18" t="str">
        <x:v>AT-006</x:v>
      </x:c>
      <x:c r="B11" s="18" t="str">
        <x:v>Meetings</x:v>
      </x:c>
      <x:c r="C11" s="18" t="str">
        <x:v>Prepare agenda and room checklist</x:v>
      </x:c>
      <x:c r="D11" s="18" t="str">
        <x:v>Medium</x:v>
      </x:c>
      <x:c r="E11" s="18" t="str">
        <x:v>Rafet</x:v>
      </x:c>
      <x:c r="F11" s="21" t="n">
        <x:v>46275</x:v>
      </x:c>
      <x:c r="G11" s="18" t="str">
        <x:v>Complete</x:v>
      </x:c>
      <x:c r="H11" s="18" t="str">
        <x:v>Shared with team</x:v>
      </x:c>
    </x:row>
    <x:row r="12">
      <x:c r="A12" s="18" t="str">
        <x:v>AT-007</x:v>
      </x:c>
      <x:c r="B12" s="18" t="str">
        <x:v>Onboarding</x:v>
      </x:c>
      <x:c r="C12" s="18" t="str">
        <x:v>Check starter documentation</x:v>
      </x:c>
      <x:c r="D12" s="18" t="str">
        <x:v>High</x:v>
      </x:c>
      <x:c r="E12" s="18" t="str">
        <x:v>Rafet</x:v>
      </x:c>
      <x:c r="F12" s="21" t="n">
        <x:v>46274</x:v>
      </x:c>
      <x:c r="G12" s="18" t="str">
        <x:v>In progress</x:v>
      </x:c>
      <x:c r="H12" s="18" t="str">
        <x:v>One form outstanding</x:v>
      </x:c>
    </x:row>
    <x:row r="13">
      <x:c r="A13" s="18" t="str">
        <x:v>AT-008</x:v>
      </x:c>
      <x:c r="B13" s="18" t="str">
        <x:v>Compliance</x:v>
      </x:c>
      <x:c r="C13" s="18" t="str">
        <x:v>Update monthly compliance log</x:v>
      </x:c>
      <x:c r="D13" s="18" t="str">
        <x:v>Medium</x:v>
      </x:c>
      <x:c r="E13" s="18" t="str">
        <x:v>Rafet</x:v>
      </x:c>
      <x:c r="F13" s="21" t="n">
        <x:v>46277</x:v>
      </x:c>
      <x:c r="G13" s="18" t="str">
        <x:v>Not started</x:v>
      </x:c>
      <x:c r="H13" s="18" t="str"/>
    </x:row>
    <x:row r="14">
      <x:c r="A14" s="19" t="str">
        <x:v>AT-009</x:v>
      </x:c>
      <x:c r="B14" s="19" t="str">
        <x:v>Communication</x:v>
      </x:c>
      <x:c r="C14" s="19" t="str">
        <x:v>Send rota publication notice</x:v>
      </x:c>
      <x:c r="D14" s="19" t="str">
        <x:v>Low</x:v>
      </x:c>
      <x:c r="E14" s="19" t="str">
        <x:v>Rafet</x:v>
      </x:c>
      <x:c r="F14" s="22" t="n">
        <x:v>46276</x:v>
      </x:c>
      <x:c r="G14" s="19" t="str">
        <x:v>Not started</x:v>
      </x:c>
      <x:c r="H14" s="19" t="str"/>
    </x:row>
  </x:sheetData>
  <x:mergeCells>
    <x:mergeCell ref="A1:H2"/>
    <x:mergeCell ref="A3:H3"/>
  </x:mergeCells>
  <x:conditionalFormatting sqref="G6:G100">
    <x:cfRule type="containsText" dxfId="7" priority="1" operator="containsText" text="Complete"/>
    <x:cfRule type="containsText" dxfId="8" priority="2" operator="containsText" text="In progress"/>
    <x:cfRule type="containsText" dxfId="9" priority="3" operator="containsText" text="Blocked"/>
  </x:conditionalFormatting>
  <x:dataValidations count="2">
    <x:dataValidation type="list" sqref="D6:D100">
      <x:formula1>"High,Medium,Low"</x:formula1>
    </x:dataValidation>
    <x:dataValidation type="list" sqref="G6:G100">
      <x:formula1>"Not started,In progress,Complete,Blocked"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>
      <x:c r="A1" s="4" t="str">
        <x:v>PROJECT GUIDE — HOW TO REVIEW THIS WORKBOOK</x:v>
      </x:c>
      <x:c r="B1" s="4"/>
    </x:row>
    <x:row r="2">
      <x:c r="A2" s="4"/>
      <x:c r="B2" s="4"/>
    </x:row>
    <x:row r="4" ht="42" customHeight="1">
      <x:c r="A4" s="54" t="str">
        <x:v>Project</x:v>
      </x:c>
      <x:c r="B4" s="58" t="str">
        <x:v>Staff Scheduling, Training &amp; Compliance Dashboard</x:v>
      </x:c>
    </x:row>
    <x:row r="5" ht="42" customHeight="1">
      <x:c r="A5" s="54" t="str">
        <x:v>Creator</x:v>
      </x:c>
      <x:c r="B5" s="59" t="str">
        <x:v>Rafet</x:v>
      </x:c>
    </x:row>
    <x:row r="6" ht="42" customHeight="1">
      <x:c r="A6" s="54" t="str">
        <x:v>Purpose</x:v>
      </x:c>
      <x:c r="B6" s="59" t="str">
        <x:v>Demonstrate scheduling, rota coordination, training administration, leave/cover handling and business-support reporting.</x:v>
      </x:c>
    </x:row>
    <x:row r="7" ht="42" customHeight="1">
      <x:c r="A7" s="54" t="str">
        <x:v>Data integrity</x:v>
      </x:c>
      <x:c r="B7" s="59" t="str">
        <x:v>All people, shifts and records are fictional sample data. No employer or employee information is included.</x:v>
      </x:c>
    </x:row>
    <x:row r="8" ht="42" customHeight="1">
      <x:c r="A8" s="54" t="str">
        <x:v>What I built</x:v>
      </x:c>
      <x:c r="B8" s="59" t="str">
        <x:v>A connected dashboard, weekly staff rota, training record, leave-and-cover log and administrative task tracker.</x:v>
      </x:c>
    </x:row>
    <x:row r="9" ht="42" customHeight="1">
      <x:c r="A9" s="54" t="str">
        <x:v>Excel evidence</x:v>
      </x:c>
      <x:c r="B9" s="59" t="str">
        <x:v>Linked formulas, COUNTIF/COUNTIFS, conditional formatting, dropdown validation, date formatting and a native chart.</x:v>
      </x:c>
    </x:row>
    <x:row r="10" ht="42" customHeight="1">
      <x:c r="A10" s="54" t="str">
        <x:v>How to test</x:v>
      </x:c>
      <x:c r="B10" s="59" t="str">
        <x:v>Change a Coverage Status, training due date or task status. The Dashboard updates automatically.</x:v>
      </x:c>
    </x:row>
    <x:row r="11" ht="42" customHeight="1">
      <x:c r="A11" s="54" t="str">
        <x:v>Business value</x:v>
      </x:c>
      <x:c r="B11" s="59" t="str">
        <x:v>Makes staffing gaps, training actions, pending leave and administrative priorities visible in one place.</x:v>
      </x:c>
    </x:row>
    <x:row r="12" ht="42" customHeight="1">
      <x:c r="A12" s="54" t="str">
        <x:v>Skills shown</x:v>
      </x:c>
      <x:c r="B12" s="59" t="str">
        <x:v>Staff scheduling, training coordination, record keeping, prioritisation, compliance administration, communication and Microsoft Excel.</x:v>
      </x:c>
    </x:row>
    <x:row r="13" ht="42" customHeight="1">
      <x:c r="A13" s="54" t="str">
        <x:v>Important</x:v>
      </x:c>
      <x:c r="B13" s="60" t="str">
        <x:v>Describe this as a personal portfolio project using fictional sample data, not as an employer-deployed system.</x:v>
      </x:c>
    </x:row>
  </x:sheetData>
  <x:mergeCells>
    <x:mergeCell ref="A1:B2"/>
  </x:mergeCells>
  <x:pageMargins left="0.7" right="0.7" top="0.75" bottom="0.75" header="0.3" footer="0.3"/>
</x:worksheet>
</file>